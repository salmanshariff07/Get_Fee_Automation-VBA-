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New folder\Programs\Excel goodies\VBA (Macro)\"/>
    </mc:Choice>
  </mc:AlternateContent>
  <bookViews>
    <workbookView xWindow="0" yWindow="0" windowWidth="21268" windowHeight="7986" activeTab="1"/>
  </bookViews>
  <sheets>
    <sheet name="Dump" sheetId="1" r:id="rId1"/>
    <sheet name="Fee Data" sheetId="3" r:id="rId2"/>
    <sheet name="Unclaimed" sheetId="6" r:id="rId3"/>
  </sheets>
  <definedNames>
    <definedName name="_xlnm._FilterDatabase" localSheetId="1" hidden="1">'Fee Data'!$A$1:$F$31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6" l="1"/>
  <c r="H32" i="3"/>
  <c r="E32" i="3"/>
  <c r="D15" i="1" l="1"/>
</calcChain>
</file>

<file path=xl/sharedStrings.xml><?xml version="1.0" encoding="utf-8"?>
<sst xmlns="http://schemas.openxmlformats.org/spreadsheetml/2006/main" count="295" uniqueCount="52">
  <si>
    <t>Paste the Data in 1st Cell</t>
  </si>
  <si>
    <t>jjasin545</t>
  </si>
  <si>
    <t>bp-aahors457</t>
  </si>
  <si>
    <t>BP-RCHUA010</t>
  </si>
  <si>
    <t>Concentrix</t>
  </si>
  <si>
    <t>bp-rcoron952</t>
  </si>
  <si>
    <t>bp-cgarci335</t>
  </si>
  <si>
    <t>sperry597</t>
  </si>
  <si>
    <t>bp-lmendo599</t>
  </si>
  <si>
    <t>bp-amata201</t>
  </si>
  <si>
    <t>bp-ide753</t>
  </si>
  <si>
    <t>bp-kwashi587</t>
  </si>
  <si>
    <t>ngreen011</t>
  </si>
  <si>
    <t>bp-aelkhe064</t>
  </si>
  <si>
    <t>bp-sbeigh576</t>
  </si>
  <si>
    <t>bpanar352</t>
  </si>
  <si>
    <t>bp-names111</t>
  </si>
  <si>
    <t>bp-mparas917</t>
  </si>
  <si>
    <t>cwhich422</t>
  </si>
  <si>
    <t>bp-jfambr284</t>
  </si>
  <si>
    <t>jpogue273</t>
  </si>
  <si>
    <t>rgarla200</t>
  </si>
  <si>
    <t>bp-swaghm170</t>
  </si>
  <si>
    <t>bp-krasab950</t>
  </si>
  <si>
    <t>bp-amehta641</t>
  </si>
  <si>
    <t>bp-pkumar765</t>
  </si>
  <si>
    <t>bp-cvalle307</t>
  </si>
  <si>
    <t>bp-imanla608</t>
  </si>
  <si>
    <t>bp-nsingh532</t>
  </si>
  <si>
    <t>bp-alopez732</t>
  </si>
  <si>
    <t>ecueva197</t>
  </si>
  <si>
    <t>bp-jnavea573</t>
  </si>
  <si>
    <t>eClerx</t>
  </si>
  <si>
    <t>Company Name</t>
  </si>
  <si>
    <t>Status</t>
  </si>
  <si>
    <t>Cheque</t>
  </si>
  <si>
    <t>Bacs</t>
  </si>
  <si>
    <t>Unclaimed</t>
  </si>
  <si>
    <t>Retained</t>
  </si>
  <si>
    <t>Issued</t>
  </si>
  <si>
    <t>Paid</t>
  </si>
  <si>
    <t>Amount For</t>
  </si>
  <si>
    <t>Dividend</t>
  </si>
  <si>
    <t>Date</t>
  </si>
  <si>
    <t>Amount</t>
  </si>
  <si>
    <t>Paid Via</t>
  </si>
  <si>
    <t>Total Dividend</t>
  </si>
  <si>
    <t>Total Fee</t>
  </si>
  <si>
    <t>Fees</t>
  </si>
  <si>
    <t>Returned</t>
  </si>
  <si>
    <t>No Fee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</si>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</sst>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0" borderId="1" xfId="0" applyFont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14" fontId="2" fillId="0" borderId="0" xfId="0" applyNumberFormat="1" applyFont="1"/>
    <xf numFmtId="0" fontId="1" fillId="3" borderId="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164" fontId="1" fillId="3" borderId="3" xfId="0" applyNumberFormat="1" applyFont="1" applyFill="1" applyBorder="1" applyAlignment="1">
      <alignment vertical="center"/>
    </xf>
    <xf numFmtId="164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520504</xdr:colOff>
      <xdr:row>6</xdr:row>
      <xdr:rowOff>7033</xdr:rowOff>
    </xdr:from>
    <xdr:to>
      <xdr:col>15</xdr:col>
      <xdr:colOff>534573</xdr:colOff>
      <xdr:row>9</xdr:row>
      <xdr:rowOff>161778</xdr:rowOff>
    </xdr:to>
    <xdr:sp macro="[0]!ConvertDum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AA72242-93FD-4BAC-8F1A-920D7E877729}"/>
            </a:ext>
          </a:extLst>
        </xdr:cNvPr>
        <xdr:cNvSpPr/>
      </xdr:nvSpPr>
      <xdr:spPr>
        <a:xfrm>
          <a:off x="9805181" y="1287193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Convert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14</xdr:col>
      <xdr:colOff>14069</xdr:colOff>
      <xdr:row>8</xdr:row>
      <xdr:rowOff>154745</xdr:rowOff>
    </xdr:to>
    <xdr:sp macro="[0]!FilterUnclaimedDividen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60D37CD-39F4-44A0-B043-415B508755A9}"/>
            </a:ext>
          </a:extLst>
        </xdr:cNvPr>
        <xdr:cNvSpPr/>
      </xdr:nvSpPr>
      <xdr:spPr>
        <a:xfrm>
          <a:off x="10072468" y="914400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Filter</a:t>
          </a:r>
          <a:r>
            <a:rPr lang="en-IN" sz="1400" b="1" baseline="0">
              <a:solidFill>
                <a:sysClr val="windowText" lastClr="000000"/>
              </a:solidFill>
            </a:rPr>
            <a:t> Unclaimed</a:t>
          </a:r>
          <a:endParaRPr lang="en-IN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14</xdr:col>
      <xdr:colOff>14069</xdr:colOff>
      <xdr:row>17</xdr:row>
      <xdr:rowOff>154745</xdr:rowOff>
    </xdr:to>
    <xdr:sp macro="[0]!GetDividendFeeDetai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FCDE89D-78BE-4B1E-BE26-3BB6F6C13790}"/>
            </a:ext>
          </a:extLst>
        </xdr:cNvPr>
        <xdr:cNvSpPr/>
      </xdr:nvSpPr>
      <xdr:spPr>
        <a:xfrm>
          <a:off x="10072468" y="2560320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Get</a:t>
          </a:r>
          <a:r>
            <a:rPr lang="en-IN" sz="1400" b="1" baseline="0">
              <a:solidFill>
                <a:sysClr val="windowText" lastClr="000000"/>
              </a:solidFill>
            </a:rPr>
            <a:t> Fee Details</a:t>
          </a:r>
          <a:endParaRPr lang="en-IN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7</xdr:row>
      <xdr:rowOff>0</xdr:rowOff>
    </xdr:from>
    <xdr:to>
      <xdr:col>18</xdr:col>
      <xdr:colOff>14069</xdr:colOff>
      <xdr:row>10</xdr:row>
      <xdr:rowOff>154745</xdr:rowOff>
    </xdr:to>
    <xdr:sp macro="[0]!GetUnclaimedFe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8D191B-8C01-446D-9409-E5B1CAA6422F}"/>
            </a:ext>
          </a:extLst>
        </xdr:cNvPr>
        <xdr:cNvSpPr/>
      </xdr:nvSpPr>
      <xdr:spPr>
        <a:xfrm>
          <a:off x="9284677" y="1280160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Get Unclaimed Fee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workbookViewId="0">
      <selection sqref="A1:F30"/>
    </sheetView>
  </sheetViews>
  <sheetFormatPr defaultRowHeight="14.4" x14ac:dyDescent="0.3"/>
  <cols>
    <col min="1" max="6" width="10.296875" customWidth="1"/>
  </cols>
  <sheetData>
    <row r="1" spans="1:14" x14ac:dyDescent="0.3">
      <c r="A1" s="4" t="s">
        <v>1</v>
      </c>
      <c r="B1" s="4" t="s">
        <v>42</v>
      </c>
      <c r="C1" s="5">
        <v>39083</v>
      </c>
      <c r="D1" s="4">
        <v>8</v>
      </c>
      <c r="E1" s="4" t="s">
        <v>37</v>
      </c>
      <c r="F1" s="4" t="s">
        <v>36</v>
      </c>
    </row>
    <row r="2" spans="1:14" x14ac:dyDescent="0.3">
      <c r="A2" s="2" t="s">
        <v>2</v>
      </c>
      <c r="B2" s="4" t="s">
        <v>42</v>
      </c>
      <c r="C2" s="6">
        <v>39264</v>
      </c>
      <c r="D2" s="2">
        <v>482</v>
      </c>
      <c r="E2" s="2" t="s">
        <v>38</v>
      </c>
      <c r="F2" s="2" t="s">
        <v>35</v>
      </c>
    </row>
    <row r="3" spans="1:14" x14ac:dyDescent="0.3">
      <c r="A3" s="1" t="s">
        <v>3</v>
      </c>
      <c r="B3" s="4" t="s">
        <v>42</v>
      </c>
      <c r="C3" s="5">
        <v>39448</v>
      </c>
      <c r="D3" s="1">
        <v>75</v>
      </c>
      <c r="E3" s="1" t="s">
        <v>39</v>
      </c>
      <c r="F3" s="4" t="s">
        <v>36</v>
      </c>
    </row>
    <row r="4" spans="1:14" x14ac:dyDescent="0.3">
      <c r="A4" s="2" t="s">
        <v>5</v>
      </c>
      <c r="B4" s="4" t="s">
        <v>42</v>
      </c>
      <c r="C4" s="6">
        <v>39630</v>
      </c>
      <c r="D4" s="2">
        <v>120</v>
      </c>
      <c r="E4" s="2" t="s">
        <v>40</v>
      </c>
      <c r="F4" s="4" t="s">
        <v>36</v>
      </c>
    </row>
    <row r="5" spans="1:14" x14ac:dyDescent="0.3">
      <c r="A5" s="1" t="s">
        <v>6</v>
      </c>
      <c r="B5" s="4" t="s">
        <v>42</v>
      </c>
      <c r="C5" s="5">
        <v>39814</v>
      </c>
      <c r="D5" s="1">
        <v>800</v>
      </c>
      <c r="E5" s="1" t="s">
        <v>49</v>
      </c>
      <c r="F5" s="4" t="s">
        <v>36</v>
      </c>
    </row>
    <row r="6" spans="1:14" x14ac:dyDescent="0.3">
      <c r="A6" s="2" t="s">
        <v>7</v>
      </c>
      <c r="B6" s="4" t="s">
        <v>42</v>
      </c>
      <c r="C6" s="6">
        <v>39995</v>
      </c>
      <c r="D6" s="2">
        <v>1200</v>
      </c>
      <c r="E6" s="2" t="s">
        <v>40</v>
      </c>
      <c r="F6" s="4" t="s">
        <v>36</v>
      </c>
    </row>
    <row r="7" spans="1:14" x14ac:dyDescent="0.3">
      <c r="A7" s="1" t="s">
        <v>8</v>
      </c>
      <c r="B7" s="4" t="s">
        <v>42</v>
      </c>
      <c r="C7" s="5">
        <v>40179</v>
      </c>
      <c r="D7" s="1">
        <v>3</v>
      </c>
      <c r="E7" s="1" t="s">
        <v>49</v>
      </c>
      <c r="F7" s="4" t="s">
        <v>36</v>
      </c>
    </row>
    <row r="8" spans="1:14" x14ac:dyDescent="0.3">
      <c r="A8" s="2" t="s">
        <v>9</v>
      </c>
      <c r="B8" s="4" t="s">
        <v>42</v>
      </c>
      <c r="C8" s="6">
        <v>40360</v>
      </c>
      <c r="D8" s="2">
        <v>256</v>
      </c>
      <c r="E8" s="4" t="s">
        <v>37</v>
      </c>
      <c r="F8" s="4" t="s">
        <v>36</v>
      </c>
    </row>
    <row r="9" spans="1:14" x14ac:dyDescent="0.3">
      <c r="A9" s="1" t="s">
        <v>10</v>
      </c>
      <c r="B9" s="4" t="s">
        <v>42</v>
      </c>
      <c r="C9" s="5">
        <v>40544</v>
      </c>
      <c r="D9" s="1">
        <v>280</v>
      </c>
      <c r="E9" s="2" t="s">
        <v>40</v>
      </c>
      <c r="F9" s="2" t="s">
        <v>35</v>
      </c>
    </row>
    <row r="10" spans="1:14" x14ac:dyDescent="0.3">
      <c r="A10" s="2" t="s">
        <v>11</v>
      </c>
      <c r="B10" s="4" t="s">
        <v>42</v>
      </c>
      <c r="C10" s="6">
        <v>40725</v>
      </c>
      <c r="D10" s="2">
        <v>179</v>
      </c>
      <c r="E10" s="1" t="s">
        <v>39</v>
      </c>
      <c r="F10" s="2" t="s">
        <v>35</v>
      </c>
    </row>
    <row r="11" spans="1:14" x14ac:dyDescent="0.3">
      <c r="A11" s="1" t="s">
        <v>12</v>
      </c>
      <c r="B11" s="4" t="s">
        <v>42</v>
      </c>
      <c r="C11" s="5">
        <v>40909</v>
      </c>
      <c r="D11" s="1">
        <v>435</v>
      </c>
      <c r="E11" s="1" t="s">
        <v>39</v>
      </c>
      <c r="F11" s="2" t="s">
        <v>35</v>
      </c>
    </row>
    <row r="12" spans="1:14" x14ac:dyDescent="0.3">
      <c r="A12" s="2" t="s">
        <v>13</v>
      </c>
      <c r="B12" s="4" t="s">
        <v>42</v>
      </c>
      <c r="C12" s="6">
        <v>41091</v>
      </c>
      <c r="D12" s="2">
        <v>134</v>
      </c>
      <c r="E12" s="2" t="s">
        <v>40</v>
      </c>
      <c r="F12" s="2" t="s">
        <v>35</v>
      </c>
      <c r="N12" t="s">
        <v>0</v>
      </c>
    </row>
    <row r="13" spans="1:14" x14ac:dyDescent="0.3">
      <c r="A13" s="1" t="s">
        <v>14</v>
      </c>
      <c r="B13" s="4" t="s">
        <v>42</v>
      </c>
      <c r="C13" s="5">
        <v>41275</v>
      </c>
      <c r="D13" s="1">
        <v>88</v>
      </c>
      <c r="E13" s="2" t="s">
        <v>40</v>
      </c>
      <c r="F13" s="2" t="s">
        <v>35</v>
      </c>
    </row>
    <row r="14" spans="1:14" x14ac:dyDescent="0.3">
      <c r="A14" s="2" t="s">
        <v>15</v>
      </c>
      <c r="B14" s="4" t="s">
        <v>42</v>
      </c>
      <c r="C14" s="6">
        <v>41456</v>
      </c>
      <c r="D14" s="2">
        <v>217</v>
      </c>
      <c r="E14" s="1" t="s">
        <v>39</v>
      </c>
      <c r="F14" s="2" t="s">
        <v>35</v>
      </c>
    </row>
    <row r="15" spans="1:14" x14ac:dyDescent="0.3">
      <c r="A15" s="1" t="s">
        <v>16</v>
      </c>
      <c r="B15" s="4" t="s">
        <v>42</v>
      </c>
      <c r="C15" s="5">
        <v>41640</v>
      </c>
      <c r="D15" s="1">
        <f t="shared" ref="D15" ca="1" si="0">RANDBETWEEN(0,9)</f>
        <v>8</v>
      </c>
      <c r="E15" s="2" t="s">
        <v>38</v>
      </c>
      <c r="F15" s="2" t="s">
        <v>35</v>
      </c>
    </row>
    <row r="16" spans="1:14" x14ac:dyDescent="0.3">
      <c r="A16" s="2" t="s">
        <v>17</v>
      </c>
      <c r="B16" s="4" t="s">
        <v>42</v>
      </c>
      <c r="C16" s="6">
        <v>41821</v>
      </c>
      <c r="D16" s="2">
        <v>308</v>
      </c>
      <c r="E16" s="1" t="s">
        <v>39</v>
      </c>
      <c r="F16" s="2" t="s">
        <v>4</v>
      </c>
    </row>
    <row r="17" spans="1:6" x14ac:dyDescent="0.3">
      <c r="A17" s="1" t="s">
        <v>18</v>
      </c>
      <c r="B17" s="4" t="s">
        <v>42</v>
      </c>
      <c r="C17" s="5">
        <v>42005</v>
      </c>
      <c r="D17" s="1">
        <v>88</v>
      </c>
      <c r="E17" s="2" t="s">
        <v>38</v>
      </c>
      <c r="F17" s="4" t="s">
        <v>36</v>
      </c>
    </row>
    <row r="18" spans="1:6" x14ac:dyDescent="0.3">
      <c r="A18" s="2" t="s">
        <v>19</v>
      </c>
      <c r="B18" s="4" t="s">
        <v>42</v>
      </c>
      <c r="C18" s="6">
        <v>42186</v>
      </c>
      <c r="D18" s="2">
        <v>490</v>
      </c>
      <c r="E18" s="1" t="s">
        <v>39</v>
      </c>
      <c r="F18" s="4" t="s">
        <v>36</v>
      </c>
    </row>
    <row r="19" spans="1:6" x14ac:dyDescent="0.3">
      <c r="A19" s="1" t="s">
        <v>20</v>
      </c>
      <c r="B19" s="4" t="s">
        <v>42</v>
      </c>
      <c r="C19" s="5">
        <v>42370</v>
      </c>
      <c r="D19" s="1">
        <v>40</v>
      </c>
      <c r="E19" s="4" t="s">
        <v>37</v>
      </c>
      <c r="F19" s="4" t="s">
        <v>36</v>
      </c>
    </row>
    <row r="20" spans="1:6" x14ac:dyDescent="0.3">
      <c r="A20" s="2" t="s">
        <v>21</v>
      </c>
      <c r="B20" s="4" t="s">
        <v>42</v>
      </c>
      <c r="C20" s="6">
        <v>42552</v>
      </c>
      <c r="D20" s="2">
        <v>275</v>
      </c>
      <c r="E20" s="2" t="s">
        <v>38</v>
      </c>
      <c r="F20" s="4" t="s">
        <v>36</v>
      </c>
    </row>
    <row r="21" spans="1:6" x14ac:dyDescent="0.3">
      <c r="A21" s="1" t="s">
        <v>22</v>
      </c>
      <c r="B21" s="4" t="s">
        <v>42</v>
      </c>
      <c r="C21" s="5">
        <v>42736</v>
      </c>
      <c r="D21" s="1">
        <v>580</v>
      </c>
      <c r="E21" s="4" t="s">
        <v>37</v>
      </c>
      <c r="F21" s="1" t="s">
        <v>32</v>
      </c>
    </row>
    <row r="22" spans="1:6" x14ac:dyDescent="0.3">
      <c r="A22" s="2" t="s">
        <v>23</v>
      </c>
      <c r="B22" s="4" t="s">
        <v>42</v>
      </c>
      <c r="C22" s="6">
        <v>42917</v>
      </c>
      <c r="D22" s="2">
        <v>799</v>
      </c>
      <c r="E22" s="2" t="s">
        <v>40</v>
      </c>
      <c r="F22" s="2" t="s">
        <v>35</v>
      </c>
    </row>
    <row r="23" spans="1:6" x14ac:dyDescent="0.3">
      <c r="A23" s="1" t="s">
        <v>24</v>
      </c>
      <c r="B23" s="4" t="s">
        <v>42</v>
      </c>
      <c r="C23" s="5">
        <v>43101</v>
      </c>
      <c r="D23" s="1">
        <v>200</v>
      </c>
      <c r="E23" s="1" t="s">
        <v>39</v>
      </c>
      <c r="F23" s="2" t="s">
        <v>35</v>
      </c>
    </row>
    <row r="24" spans="1:6" x14ac:dyDescent="0.3">
      <c r="A24" s="2" t="s">
        <v>25</v>
      </c>
      <c r="B24" s="4" t="s">
        <v>42</v>
      </c>
      <c r="C24" s="6">
        <v>43282</v>
      </c>
      <c r="D24" s="2">
        <v>500</v>
      </c>
      <c r="E24" s="1" t="s">
        <v>39</v>
      </c>
      <c r="F24" s="2" t="s">
        <v>35</v>
      </c>
    </row>
    <row r="25" spans="1:6" x14ac:dyDescent="0.3">
      <c r="A25" s="1" t="s">
        <v>26</v>
      </c>
      <c r="B25" s="4" t="s">
        <v>42</v>
      </c>
      <c r="C25" s="5">
        <v>43466</v>
      </c>
      <c r="D25" s="1">
        <v>445</v>
      </c>
      <c r="E25" s="2" t="s">
        <v>38</v>
      </c>
      <c r="F25" s="2" t="s">
        <v>35</v>
      </c>
    </row>
    <row r="26" spans="1:6" x14ac:dyDescent="0.3">
      <c r="A26" s="2" t="s">
        <v>27</v>
      </c>
      <c r="B26" s="4" t="s">
        <v>42</v>
      </c>
      <c r="C26" s="6">
        <v>43647</v>
      </c>
      <c r="D26" s="2">
        <v>6</v>
      </c>
      <c r="E26" s="4" t="s">
        <v>37</v>
      </c>
      <c r="F26" s="2" t="s">
        <v>35</v>
      </c>
    </row>
    <row r="27" spans="1:6" x14ac:dyDescent="0.3">
      <c r="A27" s="1" t="s">
        <v>28</v>
      </c>
      <c r="B27" s="4" t="s">
        <v>42</v>
      </c>
      <c r="C27" s="5">
        <v>43831</v>
      </c>
      <c r="D27" s="1">
        <v>28</v>
      </c>
      <c r="E27" s="4" t="s">
        <v>37</v>
      </c>
      <c r="F27" s="4" t="s">
        <v>36</v>
      </c>
    </row>
    <row r="28" spans="1:6" x14ac:dyDescent="0.3">
      <c r="A28" s="2" t="s">
        <v>29</v>
      </c>
      <c r="B28" s="4" t="s">
        <v>42</v>
      </c>
      <c r="C28" s="6">
        <v>44013</v>
      </c>
      <c r="D28" s="2">
        <v>55</v>
      </c>
      <c r="E28" s="2" t="s">
        <v>40</v>
      </c>
      <c r="F28" s="4" t="s">
        <v>36</v>
      </c>
    </row>
    <row r="29" spans="1:6" x14ac:dyDescent="0.3">
      <c r="A29" s="1" t="s">
        <v>30</v>
      </c>
      <c r="B29" s="4" t="s">
        <v>42</v>
      </c>
      <c r="C29" s="5">
        <v>44197</v>
      </c>
      <c r="D29" s="1">
        <v>110</v>
      </c>
      <c r="E29" s="2" t="s">
        <v>38</v>
      </c>
      <c r="F29" s="2" t="s">
        <v>35</v>
      </c>
    </row>
    <row r="30" spans="1:6" x14ac:dyDescent="0.3">
      <c r="A30" s="3" t="s">
        <v>31</v>
      </c>
      <c r="B30" s="4" t="s">
        <v>42</v>
      </c>
      <c r="C30" s="6">
        <v>44378</v>
      </c>
      <c r="D30" s="3">
        <v>201</v>
      </c>
      <c r="E30" s="4" t="s">
        <v>37</v>
      </c>
      <c r="F30" s="2" t="s">
        <v>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2"/>
  <sheetViews>
    <sheetView tabSelected="1" workbookViewId="0">
      <selection activeCell="J7" sqref="J7"/>
    </sheetView>
  </sheetViews>
  <sheetFormatPr defaultRowHeight="19.95" customHeight="1" x14ac:dyDescent="0.3"/>
  <cols>
    <col min="1" max="1" width="14.296875" style="8" bestFit="1" customWidth="1"/>
    <col min="2" max="2" width="10.8984375" style="8" bestFit="1" customWidth="1"/>
    <col min="3" max="3" width="10.09765625" style="12" bestFit="1" customWidth="1"/>
    <col min="4" max="4" width="13.19921875" style="8" bestFit="1" customWidth="1"/>
    <col min="5" max="5" width="9.796875" style="8" bestFit="1" customWidth="1"/>
    <col min="6" max="6" width="9.8984375" style="8" bestFit="1" customWidth="1"/>
    <col min="7" max="7" width="8.59765625" style="8" bestFit="1" customWidth="1"/>
    <col min="8" max="8" width="3.8984375" style="8" bestFit="1" customWidth="1"/>
    <col min="9" max="16384" width="8.796875" style="8"/>
  </cols>
  <sheetData>
    <row r="1" spans="1:7" ht="19.95" customHeight="1" x14ac:dyDescent="0.3">
      <c r="A1" s="7" t="s">
        <v>33</v>
      </c>
      <c r="B1" s="7" t="s">
        <v>41</v>
      </c>
      <c r="C1" s="11" t="s">
        <v>43</v>
      </c>
      <c r="D1" s="7" t="s">
        <v>44</v>
      </c>
      <c r="E1" s="7" t="s">
        <v>34</v>
      </c>
      <c r="F1" s="7" t="s">
        <v>45</v>
      </c>
      <c r="G1" s="7" t="s">
        <v>48</v>
      </c>
    </row>
    <row r="2" spans="1:7" ht="19.95" customHeight="1" x14ac:dyDescent="0.3">
      <c r="A2" s="8" t="s">
        <v>1</v>
      </c>
      <c r="B2" s="8" t="s">
        <v>42</v>
      </c>
      <c r="C2" s="12">
        <v>39083</v>
      </c>
      <c r="D2" s="8">
        <v>8</v>
      </c>
      <c r="E2" s="8" t="s">
        <v>37</v>
      </c>
      <c r="F2" s="8" t="s">
        <v>36</v>
      </c>
      <c r="G2" s="8">
        <v>0</v>
      </c>
    </row>
    <row r="3" spans="1:7" ht="19.95" customHeight="1" x14ac:dyDescent="0.3">
      <c r="A3" s="8" t="s">
        <v>2</v>
      </c>
      <c r="B3" s="8" t="s">
        <v>42</v>
      </c>
      <c r="C3" s="12">
        <v>39264</v>
      </c>
      <c r="D3" s="8">
        <v>482</v>
      </c>
      <c r="E3" s="8" t="s">
        <v>38</v>
      </c>
      <c r="F3" s="8" t="s">
        <v>35</v>
      </c>
      <c r="G3" s="8">
        <v>50</v>
      </c>
    </row>
    <row r="4" spans="1:7" ht="19.95" customHeight="1" x14ac:dyDescent="0.3">
      <c r="A4" s="8" t="s">
        <v>3</v>
      </c>
      <c r="B4" s="8" t="s">
        <v>42</v>
      </c>
      <c r="C4" s="12">
        <v>39448</v>
      </c>
      <c r="D4" s="8">
        <v>75</v>
      </c>
      <c r="E4" s="8" t="s">
        <v>39</v>
      </c>
      <c r="F4" s="8" t="s">
        <v>36</v>
      </c>
      <c r="G4" s="8">
        <v>10</v>
      </c>
    </row>
    <row r="5" spans="1:7" ht="19.95" customHeight="1" x14ac:dyDescent="0.3">
      <c r="A5" s="8" t="s">
        <v>5</v>
      </c>
      <c r="B5" s="8" t="s">
        <v>42</v>
      </c>
      <c r="C5" s="12">
        <v>39630</v>
      </c>
      <c r="D5" s="8">
        <v>120</v>
      </c>
      <c r="E5" s="8" t="s">
        <v>40</v>
      </c>
      <c r="F5" s="8" t="s">
        <v>36</v>
      </c>
      <c r="G5" s="8" t="s">
        <v>51</v>
      </c>
    </row>
    <row r="6" spans="1:7" ht="19.95" customHeight="1" x14ac:dyDescent="0.3">
      <c r="A6" s="8" t="s">
        <v>6</v>
      </c>
      <c r="B6" s="8" t="s">
        <v>42</v>
      </c>
      <c r="C6" s="12">
        <v>39814</v>
      </c>
      <c r="D6" s="8">
        <v>800</v>
      </c>
      <c r="E6" s="8" t="s">
        <v>49</v>
      </c>
      <c r="F6" s="8" t="s">
        <v>36</v>
      </c>
      <c r="G6" s="8">
        <v>100</v>
      </c>
    </row>
    <row r="7" spans="1:7" ht="19.95" customHeight="1" x14ac:dyDescent="0.3">
      <c r="A7" s="8" t="s">
        <v>7</v>
      </c>
      <c r="B7" s="8" t="s">
        <v>42</v>
      </c>
      <c r="C7" s="12">
        <v>39995</v>
      </c>
      <c r="D7" s="8">
        <v>1200</v>
      </c>
      <c r="E7" s="8" t="s">
        <v>40</v>
      </c>
      <c r="F7" s="8" t="s">
        <v>36</v>
      </c>
      <c r="G7" s="8" t="s">
        <v>51</v>
      </c>
    </row>
    <row r="8" spans="1:7" ht="19.95" customHeight="1" x14ac:dyDescent="0.3">
      <c r="A8" s="8" t="s">
        <v>8</v>
      </c>
      <c r="B8" s="8" t="s">
        <v>42</v>
      </c>
      <c r="C8" s="12">
        <v>40179</v>
      </c>
      <c r="D8" s="8">
        <v>3</v>
      </c>
      <c r="E8" s="8" t="s">
        <v>49</v>
      </c>
      <c r="F8" s="8" t="s">
        <v>36</v>
      </c>
      <c r="G8" s="8" t="s">
        <v>50</v>
      </c>
    </row>
    <row r="9" spans="1:7" ht="19.95" customHeight="1" x14ac:dyDescent="0.3">
      <c r="A9" s="8" t="s">
        <v>9</v>
      </c>
      <c r="B9" s="8" t="s">
        <v>42</v>
      </c>
      <c r="C9" s="12">
        <v>40360</v>
      </c>
      <c r="D9" s="8">
        <v>256</v>
      </c>
      <c r="E9" s="8" t="s">
        <v>37</v>
      </c>
      <c r="F9" s="8" t="s">
        <v>36</v>
      </c>
      <c r="G9" s="8">
        <v>0</v>
      </c>
    </row>
    <row r="10" spans="1:7" ht="19.95" customHeight="1" x14ac:dyDescent="0.3">
      <c r="A10" s="8" t="s">
        <v>10</v>
      </c>
      <c r="B10" s="8" t="s">
        <v>42</v>
      </c>
      <c r="C10" s="12">
        <v>40544</v>
      </c>
      <c r="D10" s="8">
        <v>280</v>
      </c>
      <c r="E10" s="8" t="s">
        <v>40</v>
      </c>
      <c r="F10" s="8" t="s">
        <v>35</v>
      </c>
      <c r="G10" s="8" t="s">
        <v>51</v>
      </c>
    </row>
    <row r="11" spans="1:7" ht="19.95" customHeight="1" x14ac:dyDescent="0.3">
      <c r="A11" s="8" t="s">
        <v>11</v>
      </c>
      <c r="B11" s="8" t="s">
        <v>42</v>
      </c>
      <c r="C11" s="12">
        <v>40725</v>
      </c>
      <c r="D11" s="8">
        <v>179</v>
      </c>
      <c r="E11" s="8" t="s">
        <v>39</v>
      </c>
      <c r="F11" s="8" t="s">
        <v>35</v>
      </c>
      <c r="G11" s="8">
        <v>20</v>
      </c>
    </row>
    <row r="12" spans="1:7" ht="19.95" customHeight="1" x14ac:dyDescent="0.3">
      <c r="A12" s="8" t="s">
        <v>12</v>
      </c>
      <c r="B12" s="8" t="s">
        <v>42</v>
      </c>
      <c r="C12" s="12">
        <v>40909</v>
      </c>
      <c r="D12" s="8">
        <v>435</v>
      </c>
      <c r="E12" s="8" t="s">
        <v>39</v>
      </c>
      <c r="F12" s="8" t="s">
        <v>35</v>
      </c>
      <c r="G12" s="8">
        <v>50</v>
      </c>
    </row>
    <row r="13" spans="1:7" ht="19.95" customHeight="1" x14ac:dyDescent="0.3">
      <c r="A13" s="8" t="s">
        <v>13</v>
      </c>
      <c r="B13" s="8" t="s">
        <v>42</v>
      </c>
      <c r="C13" s="12">
        <v>41091</v>
      </c>
      <c r="D13" s="8">
        <v>134</v>
      </c>
      <c r="E13" s="8" t="s">
        <v>40</v>
      </c>
      <c r="F13" s="8" t="s">
        <v>35</v>
      </c>
      <c r="G13" s="8" t="s">
        <v>51</v>
      </c>
    </row>
    <row r="14" spans="1:7" ht="19.95" customHeight="1" x14ac:dyDescent="0.3">
      <c r="A14" s="8" t="s">
        <v>14</v>
      </c>
      <c r="B14" s="8" t="s">
        <v>42</v>
      </c>
      <c r="C14" s="12">
        <v>41275</v>
      </c>
      <c r="D14" s="8">
        <v>88</v>
      </c>
      <c r="E14" s="8" t="s">
        <v>40</v>
      </c>
      <c r="F14" s="8" t="s">
        <v>35</v>
      </c>
      <c r="G14" s="8" t="s">
        <v>51</v>
      </c>
    </row>
    <row r="15" spans="1:7" ht="19.95" customHeight="1" x14ac:dyDescent="0.3">
      <c r="A15" s="8" t="s">
        <v>15</v>
      </c>
      <c r="B15" s="8" t="s">
        <v>42</v>
      </c>
      <c r="C15" s="12">
        <v>41456</v>
      </c>
      <c r="D15" s="8">
        <v>217</v>
      </c>
      <c r="E15" s="8" t="s">
        <v>39</v>
      </c>
      <c r="F15" s="8" t="s">
        <v>35</v>
      </c>
      <c r="G15" s="8">
        <v>50</v>
      </c>
    </row>
    <row r="16" spans="1:7" ht="19.95" customHeight="1" x14ac:dyDescent="0.3">
      <c r="A16" s="8" t="s">
        <v>16</v>
      </c>
      <c r="B16" s="8" t="s">
        <v>42</v>
      </c>
      <c r="C16" s="12">
        <v>41640</v>
      </c>
      <c r="D16" s="8">
        <v>2</v>
      </c>
      <c r="E16" s="8" t="s">
        <v>38</v>
      </c>
      <c r="F16" s="8" t="s">
        <v>35</v>
      </c>
      <c r="G16" s="8" t="s">
        <v>50</v>
      </c>
    </row>
    <row r="17" spans="1:8" ht="19.95" customHeight="1" x14ac:dyDescent="0.3">
      <c r="A17" s="8" t="s">
        <v>17</v>
      </c>
      <c r="B17" s="8" t="s">
        <v>42</v>
      </c>
      <c r="C17" s="12">
        <v>41821</v>
      </c>
      <c r="D17" s="8">
        <v>308</v>
      </c>
      <c r="E17" s="8" t="s">
        <v>39</v>
      </c>
      <c r="F17" s="8" t="s">
        <v>4</v>
      </c>
      <c r="G17" s="8">
        <v>50</v>
      </c>
    </row>
    <row r="18" spans="1:8" ht="19.95" customHeight="1" x14ac:dyDescent="0.3">
      <c r="A18" s="8" t="s">
        <v>18</v>
      </c>
      <c r="B18" s="8" t="s">
        <v>42</v>
      </c>
      <c r="C18" s="12">
        <v>42005</v>
      </c>
      <c r="D18" s="8">
        <v>88</v>
      </c>
      <c r="E18" s="8" t="s">
        <v>38</v>
      </c>
      <c r="F18" s="8" t="s">
        <v>36</v>
      </c>
      <c r="G18" s="8">
        <v>10</v>
      </c>
    </row>
    <row r="19" spans="1:8" ht="19.95" customHeight="1" x14ac:dyDescent="0.3">
      <c r="A19" s="8" t="s">
        <v>19</v>
      </c>
      <c r="B19" s="8" t="s">
        <v>42</v>
      </c>
      <c r="C19" s="12">
        <v>42186</v>
      </c>
      <c r="D19" s="8">
        <v>490</v>
      </c>
      <c r="E19" s="8" t="s">
        <v>39</v>
      </c>
      <c r="F19" s="8" t="s">
        <v>36</v>
      </c>
      <c r="G19" s="8">
        <v>50</v>
      </c>
    </row>
    <row r="20" spans="1:8" ht="19.95" customHeight="1" x14ac:dyDescent="0.3">
      <c r="A20" s="8" t="s">
        <v>20</v>
      </c>
      <c r="B20" s="8" t="s">
        <v>42</v>
      </c>
      <c r="C20" s="12">
        <v>42370</v>
      </c>
      <c r="D20" s="8">
        <v>40</v>
      </c>
      <c r="E20" s="8" t="s">
        <v>37</v>
      </c>
      <c r="F20" s="8" t="s">
        <v>36</v>
      </c>
      <c r="G20" s="8">
        <v>0</v>
      </c>
    </row>
    <row r="21" spans="1:8" ht="19.95" customHeight="1" x14ac:dyDescent="0.3">
      <c r="A21" s="8" t="s">
        <v>21</v>
      </c>
      <c r="B21" s="8" t="s">
        <v>42</v>
      </c>
      <c r="C21" s="12">
        <v>42552</v>
      </c>
      <c r="D21" s="8">
        <v>275</v>
      </c>
      <c r="E21" s="8" t="s">
        <v>38</v>
      </c>
      <c r="F21" s="8" t="s">
        <v>36</v>
      </c>
      <c r="G21" s="8">
        <v>50</v>
      </c>
    </row>
    <row r="22" spans="1:8" ht="19.95" customHeight="1" x14ac:dyDescent="0.3">
      <c r="A22" s="8" t="s">
        <v>22</v>
      </c>
      <c r="B22" s="8" t="s">
        <v>42</v>
      </c>
      <c r="C22" s="12">
        <v>42736</v>
      </c>
      <c r="D22" s="8">
        <v>580</v>
      </c>
      <c r="E22" s="8" t="s">
        <v>37</v>
      </c>
      <c r="F22" s="8" t="s">
        <v>32</v>
      </c>
      <c r="G22" s="8">
        <v>0</v>
      </c>
    </row>
    <row r="23" spans="1:8" ht="19.95" customHeight="1" x14ac:dyDescent="0.3">
      <c r="A23" s="8" t="s">
        <v>23</v>
      </c>
      <c r="B23" s="8" t="s">
        <v>42</v>
      </c>
      <c r="C23" s="12">
        <v>42917</v>
      </c>
      <c r="D23" s="8">
        <v>799</v>
      </c>
      <c r="E23" s="8" t="s">
        <v>40</v>
      </c>
      <c r="F23" s="8" t="s">
        <v>35</v>
      </c>
      <c r="G23" s="8" t="s">
        <v>51</v>
      </c>
    </row>
    <row r="24" spans="1:8" ht="19.95" customHeight="1" x14ac:dyDescent="0.3">
      <c r="A24" s="8" t="s">
        <v>24</v>
      </c>
      <c r="B24" s="8" t="s">
        <v>42</v>
      </c>
      <c r="C24" s="12">
        <v>43101</v>
      </c>
      <c r="D24" s="8">
        <v>200</v>
      </c>
      <c r="E24" s="8" t="s">
        <v>39</v>
      </c>
      <c r="F24" s="8" t="s">
        <v>35</v>
      </c>
      <c r="G24" s="8">
        <v>20</v>
      </c>
    </row>
    <row r="25" spans="1:8" ht="19.95" customHeight="1" x14ac:dyDescent="0.3">
      <c r="A25" s="8" t="s">
        <v>25</v>
      </c>
      <c r="B25" s="8" t="s">
        <v>42</v>
      </c>
      <c r="C25" s="12">
        <v>43282</v>
      </c>
      <c r="D25" s="8">
        <v>500</v>
      </c>
      <c r="E25" s="8" t="s">
        <v>39</v>
      </c>
      <c r="F25" s="8" t="s">
        <v>35</v>
      </c>
      <c r="G25" s="8">
        <v>50</v>
      </c>
    </row>
    <row r="26" spans="1:8" ht="19.95" customHeight="1" x14ac:dyDescent="0.3">
      <c r="A26" s="8" t="s">
        <v>26</v>
      </c>
      <c r="B26" s="8" t="s">
        <v>42</v>
      </c>
      <c r="C26" s="12">
        <v>43466</v>
      </c>
      <c r="D26" s="8">
        <v>445</v>
      </c>
      <c r="E26" s="8" t="s">
        <v>38</v>
      </c>
      <c r="F26" s="8" t="s">
        <v>35</v>
      </c>
      <c r="G26" s="8">
        <v>50</v>
      </c>
    </row>
    <row r="27" spans="1:8" ht="19.95" customHeight="1" x14ac:dyDescent="0.3">
      <c r="A27" s="8" t="s">
        <v>27</v>
      </c>
      <c r="B27" s="8" t="s">
        <v>42</v>
      </c>
      <c r="C27" s="12">
        <v>43647</v>
      </c>
      <c r="D27" s="8">
        <v>6</v>
      </c>
      <c r="E27" s="8" t="s">
        <v>37</v>
      </c>
      <c r="F27" s="8" t="s">
        <v>35</v>
      </c>
      <c r="G27" s="8">
        <v>0</v>
      </c>
    </row>
    <row r="28" spans="1:8" ht="19.95" customHeight="1" x14ac:dyDescent="0.3">
      <c r="A28" s="8" t="s">
        <v>28</v>
      </c>
      <c r="B28" s="8" t="s">
        <v>42</v>
      </c>
      <c r="C28" s="12">
        <v>43831</v>
      </c>
      <c r="D28" s="8">
        <v>28</v>
      </c>
      <c r="E28" s="8" t="s">
        <v>37</v>
      </c>
      <c r="F28" s="8" t="s">
        <v>36</v>
      </c>
      <c r="G28" s="8">
        <v>0</v>
      </c>
    </row>
    <row r="29" spans="1:8" ht="19.95" customHeight="1" x14ac:dyDescent="0.3">
      <c r="A29" s="8" t="s">
        <v>29</v>
      </c>
      <c r="B29" s="8" t="s">
        <v>42</v>
      </c>
      <c r="C29" s="12">
        <v>44013</v>
      </c>
      <c r="D29" s="8">
        <v>55</v>
      </c>
      <c r="E29" s="8" t="s">
        <v>40</v>
      </c>
      <c r="F29" s="8" t="s">
        <v>36</v>
      </c>
      <c r="G29" s="8" t="s">
        <v>51</v>
      </c>
    </row>
    <row r="30" spans="1:8" ht="19.95" customHeight="1" x14ac:dyDescent="0.3">
      <c r="A30" s="8" t="s">
        <v>30</v>
      </c>
      <c r="B30" s="8" t="s">
        <v>42</v>
      </c>
      <c r="C30" s="12">
        <v>44197</v>
      </c>
      <c r="D30" s="8">
        <v>110</v>
      </c>
      <c r="E30" s="8" t="s">
        <v>38</v>
      </c>
      <c r="F30" s="8" t="s">
        <v>35</v>
      </c>
      <c r="G30" s="8">
        <v>20</v>
      </c>
    </row>
    <row r="31" spans="1:8" ht="19.95" customHeight="1" x14ac:dyDescent="0.3">
      <c r="A31" s="8" t="s">
        <v>31</v>
      </c>
      <c r="B31" s="8" t="s">
        <v>42</v>
      </c>
      <c r="C31" s="12">
        <v>44378</v>
      </c>
      <c r="D31" s="8">
        <v>201</v>
      </c>
      <c r="E31" s="8" t="s">
        <v>37</v>
      </c>
      <c r="F31" s="8" t="s">
        <v>35</v>
      </c>
      <c r="G31" s="8">
        <v>0</v>
      </c>
    </row>
    <row r="32" spans="1:8" ht="19.95" customHeight="1" x14ac:dyDescent="0.3">
      <c r="D32" s="9" t="s">
        <v>46</v>
      </c>
      <c r="E32" s="9">
        <f>SUM(D:D)</f>
        <v>8404</v>
      </c>
      <c r="F32" s="9"/>
      <c r="G32" s="9" t="s">
        <v>47</v>
      </c>
      <c r="H32" s="9">
        <f>SUM(G:G)</f>
        <v>580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activeCell="F8" sqref="F8"/>
    </sheetView>
  </sheetViews>
  <sheetFormatPr defaultRowHeight="19.95" customHeight="1" x14ac:dyDescent="0.3"/>
  <cols>
    <col min="1" max="1" width="14.296875" style="8" bestFit="1" customWidth="1"/>
    <col min="2" max="2" width="10.8984375" style="8" bestFit="1" customWidth="1"/>
    <col min="3" max="3" width="10.09765625" style="12" bestFit="1" customWidth="1"/>
    <col min="4" max="4" width="13.19921875" style="8" bestFit="1" customWidth="1"/>
    <col min="5" max="5" width="9.796875" style="8" bestFit="1" customWidth="1"/>
    <col min="6" max="6" width="7.796875" style="8" bestFit="1" customWidth="1"/>
    <col min="7" max="16384" width="8.796875" style="8"/>
  </cols>
  <sheetData>
    <row r="1" spans="1:6" ht="19.95" customHeight="1" x14ac:dyDescent="0.3">
      <c r="A1" s="7" t="s">
        <v>33</v>
      </c>
      <c r="B1" s="7" t="s">
        <v>41</v>
      </c>
      <c r="C1" s="11" t="s">
        <v>43</v>
      </c>
      <c r="D1" s="7" t="s">
        <v>44</v>
      </c>
      <c r="E1" s="7" t="s">
        <v>34</v>
      </c>
      <c r="F1" s="7" t="s">
        <v>45</v>
      </c>
    </row>
    <row r="2" spans="1:6" ht="19.95" customHeight="1" x14ac:dyDescent="0.3">
      <c r="A2" s="8" t="s">
        <v>1</v>
      </c>
      <c r="B2" s="8" t="s">
        <v>42</v>
      </c>
      <c r="C2" s="12">
        <v>39083</v>
      </c>
      <c r="D2" s="8">
        <v>8</v>
      </c>
      <c r="E2" s="8" t="s">
        <v>37</v>
      </c>
      <c r="F2" s="8" t="s">
        <v>36</v>
      </c>
    </row>
    <row r="3" spans="1:6" ht="19.95" customHeight="1" x14ac:dyDescent="0.3">
      <c r="A3" s="8" t="s">
        <v>9</v>
      </c>
      <c r="B3" s="8" t="s">
        <v>42</v>
      </c>
      <c r="C3" s="12">
        <v>40360</v>
      </c>
      <c r="D3" s="8">
        <v>256</v>
      </c>
      <c r="E3" s="8" t="s">
        <v>37</v>
      </c>
      <c r="F3" s="8" t="s">
        <v>36</v>
      </c>
    </row>
    <row r="4" spans="1:6" ht="19.95" customHeight="1" x14ac:dyDescent="0.3">
      <c r="A4" s="8" t="s">
        <v>20</v>
      </c>
      <c r="B4" s="8" t="s">
        <v>42</v>
      </c>
      <c r="C4" s="12">
        <v>42370</v>
      </c>
      <c r="D4" s="8">
        <v>40</v>
      </c>
      <c r="E4" s="8" t="s">
        <v>37</v>
      </c>
      <c r="F4" s="8" t="s">
        <v>36</v>
      </c>
    </row>
    <row r="5" spans="1:6" ht="19.95" customHeight="1" x14ac:dyDescent="0.3">
      <c r="A5" s="8" t="s">
        <v>22</v>
      </c>
      <c r="B5" s="8" t="s">
        <v>42</v>
      </c>
      <c r="C5" s="12">
        <v>42736</v>
      </c>
      <c r="D5" s="8">
        <v>580</v>
      </c>
      <c r="E5" s="8" t="s">
        <v>37</v>
      </c>
      <c r="F5" s="8" t="s">
        <v>32</v>
      </c>
    </row>
    <row r="6" spans="1:6" ht="19.95" customHeight="1" x14ac:dyDescent="0.3">
      <c r="A6" s="8" t="s">
        <v>27</v>
      </c>
      <c r="B6" s="8" t="s">
        <v>42</v>
      </c>
      <c r="C6" s="12">
        <v>43647</v>
      </c>
      <c r="D6" s="8">
        <v>6</v>
      </c>
      <c r="E6" s="8" t="s">
        <v>37</v>
      </c>
      <c r="F6" s="8" t="s">
        <v>35</v>
      </c>
    </row>
    <row r="7" spans="1:6" ht="19.95" customHeight="1" x14ac:dyDescent="0.3">
      <c r="A7" s="8" t="s">
        <v>28</v>
      </c>
      <c r="B7" s="8" t="s">
        <v>42</v>
      </c>
      <c r="C7" s="12">
        <v>43831</v>
      </c>
      <c r="D7" s="8">
        <v>28</v>
      </c>
      <c r="E7" s="8" t="s">
        <v>37</v>
      </c>
      <c r="F7" s="8" t="s">
        <v>36</v>
      </c>
    </row>
    <row r="8" spans="1:6" ht="19.95" customHeight="1" x14ac:dyDescent="0.3">
      <c r="A8" s="8" t="s">
        <v>31</v>
      </c>
      <c r="B8" s="8" t="s">
        <v>42</v>
      </c>
      <c r="C8" s="12">
        <v>44378</v>
      </c>
      <c r="D8" s="8">
        <v>201</v>
      </c>
      <c r="E8" s="8" t="s">
        <v>37</v>
      </c>
      <c r="F8" s="8" t="s">
        <v>35</v>
      </c>
    </row>
    <row r="9" spans="1:6" ht="19.95" customHeight="1" x14ac:dyDescent="0.3">
      <c r="D9" s="10" t="s">
        <v>46</v>
      </c>
      <c r="E9" s="10">
        <f>SUM(D:D)</f>
        <v>1119</v>
      </c>
    </row>
    <row r="10" spans="1:6" ht="19.95" customHeight="1" x14ac:dyDescent="0.3">
      <c r="D10" s="10" t="s">
        <v>47</v>
      </c>
      <c r="E10" s="10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Dump</vt:lpstr>
      <vt:lpstr>Fee Data</vt:lpstr>
      <vt:lpstr>Unclaimed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2025-01-24T05:27:36Z</dcterms:created>
  <dcterms:modified xsi:type="dcterms:W3CDTF">2025-01-25T11:24:38Z</dcterms:modified>
</cp:coreProperties>
</file>